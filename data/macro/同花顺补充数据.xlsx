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ouzian/Desktop/CICC-RS/CTA_vol/data/macro/"/>
    </mc:Choice>
  </mc:AlternateContent>
  <xr:revisionPtr revIDLastSave="0" documentId="13_ncr:1_{531D7672-F31A-7B49-94A1-D5FE770FFBD6}" xr6:coauthVersionLast="47" xr6:coauthVersionMax="47" xr10:uidLastSave="{00000000-0000-0000-0000-000000000000}"/>
  <bookViews>
    <workbookView xWindow="1760" yWindow="4900" windowWidth="27640" windowHeight="16100" xr2:uid="{595508FB-926F-BD46-8416-752C93E4AA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 a="1"/>
  <c r="I5" i="1" s="1"/>
  <c r="B5" i="1" a="1"/>
  <c r="B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<sst xmlns="http://schemas.openxmlformats.org/spreadsheetml/2006/main" count="40" uniqueCount="25">
  <si>
    <t>单位</t>
  </si>
  <si>
    <t>%</t>
  </si>
  <si>
    <t>亿元</t>
  </si>
  <si>
    <t>指标名称</t>
  </si>
  <si>
    <t>规模以上工业企业:产成品存货:期末同比</t>
  </si>
  <si>
    <t>金融机构:新增人民币贷款:中长期贷款:当月值</t>
  </si>
  <si>
    <t>PPI:当月同比</t>
  </si>
  <si>
    <t>CPI:当月同比</t>
  </si>
  <si>
    <t>进出口差额(人民币计价):当月值</t>
  </si>
  <si>
    <t>规模以上工业企业:产成品存货:期末值</t>
  </si>
  <si>
    <t>规模以上工业企业:产成品存货:上年同期</t>
  </si>
  <si>
    <t>频率</t>
  </si>
  <si>
    <t>月</t>
  </si>
  <si>
    <t>指标ID</t>
  </si>
  <si>
    <t>M002851099</t>
  </si>
  <si>
    <t>M003146166</t>
  </si>
  <si>
    <t>M002826865</t>
  </si>
  <si>
    <t>M002826730</t>
  </si>
  <si>
    <t>M003026385</t>
  </si>
  <si>
    <t>M002851098</t>
  </si>
  <si>
    <t>M005971367</t>
  </si>
  <si>
    <t>规模以上工业增加值:当月同比</t>
  </si>
  <si>
    <t>金融机构:人民币贷款余额</t>
  </si>
  <si>
    <t>M001622302</t>
  </si>
  <si>
    <t>M002859228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</si>
</sst>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;@"/>
    <numFmt numFmtId="177" formatCode="#,##0.00_ "/>
  </numFmts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B056977-F17E-B440-B360-FBB16FE809CA}">
  <we:reference id="wa200006259" version="1.0.0.6" store="zh-CN" storeType="OMEX"/>
  <we:alternateReferences>
    <we:reference id="wa200006259" version="1.0.0.6" store="WA20000625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_xldudf_LOG</we:customFunctionIds>
        <we:customFunctionIds>_xldudf_HXRTD</we:customFunctionIds>
        <we:customFunctionIds>_xldudf_HXDR</we:customFunctionIds>
        <we:customFunctionIds>_xldudf_HXAD</we:customFunctionIds>
        <we:customFunctionIds>_xldudf_HXAD2</we:customFunctionIds>
        <we:customFunctionIds>_xldudf_HXAD3</we:customFunctionIds>
        <we:customFunctionIds>_xldudf_HXIFIND</we:customFunctionIds>
        <we:customFunctionIds>_xldudf_HXDS</we:customFunctionIds>
        <we:customFunctionIds>_xldudf_HXDS2</we:customFunctionIds>
        <we:customFunctionIds>_xldudf_HXHQ</we:customFunctionIds>
        <we:customFunctionIds>_xldudf_HXMEDB</we:customFunctionIds>
        <we:customFunctionIds>_xldudf_HXGP</we:customFunctionIds>
        <we:customFunctionIds>_xldudf_HXTDAYSOFFSET</we:customFunctionIds>
        <we:customFunctionIds>_xldudf_HX_MEDB</we:customFunctionIds>
      </we:customFunctionIdList>
    </a:ext>
    <a:ext xmlns:a="http://schemas.openxmlformats.org/drawingml/2006/main" uri="{0858819E-0033-43BF-8937-05EC82904868}">
      <we:backgroundApp state="1" runtimeId="Taskpan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C5730-F38E-A749-A605-9AE65BD0902E}">
  <dimension ref="A1:J78"/>
  <sheetViews>
    <sheetView tabSelected="1" workbookViewId="0">
      <selection activeCell="J3" sqref="J3"/>
    </sheetView>
  </sheetViews>
  <sheetFormatPr baseColWidth="10" defaultRowHeight="16"/>
  <cols>
    <col min="1" max="1" width="23.33203125" customWidth="1"/>
    <col min="2" max="2" width="20.33203125" customWidth="1"/>
    <col min="10" max="10" width="20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1</v>
      </c>
      <c r="E1" s="1" t="s">
        <v>1</v>
      </c>
      <c r="F1" s="1" t="s">
        <v>2</v>
      </c>
      <c r="G1" s="1" t="s">
        <v>2</v>
      </c>
      <c r="H1" s="1" t="s">
        <v>2</v>
      </c>
      <c r="I1" s="1" t="s">
        <v>1</v>
      </c>
      <c r="J1" s="1" t="s">
        <v>2</v>
      </c>
    </row>
    <row r="2" spans="1:10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21</v>
      </c>
      <c r="J2" s="1" t="s">
        <v>22</v>
      </c>
    </row>
    <row r="3" spans="1:10">
      <c r="A3" s="1" t="s">
        <v>11</v>
      </c>
      <c r="B3" s="1" t="s">
        <v>12</v>
      </c>
      <c r="C3" s="1" t="s">
        <v>12</v>
      </c>
      <c r="D3" s="1" t="s">
        <v>12</v>
      </c>
      <c r="E3" s="1" t="s">
        <v>12</v>
      </c>
      <c r="F3" s="1" t="s">
        <v>12</v>
      </c>
      <c r="G3" s="1" t="s">
        <v>12</v>
      </c>
      <c r="H3" s="1" t="s">
        <v>12</v>
      </c>
      <c r="I3" s="1" t="s">
        <v>12</v>
      </c>
      <c r="J3" s="1" t="s">
        <v>12</v>
      </c>
    </row>
    <row r="4" spans="1:10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23</v>
      </c>
      <c r="J4" s="1" t="s">
        <v>24</v>
      </c>
    </row>
    <row r="5" spans="1:10">
      <c r="A5" s="2">
        <v>46081</v>
      </c>
      <c r="B5" s="3" cm="1">
        <f t="array" ref="B5">_xldudf_HXMEDB(B4:H4,"2020/01/01","2026/02/28","Format(isAsc=N,Display=R,FillBlank=B,DecimalPoint=2,LineBlank=N)")</f>
        <v>6.6</v>
      </c>
      <c r="C5" s="3">
        <v>7143.37</v>
      </c>
      <c r="D5" s="3">
        <v>-0.9</v>
      </c>
      <c r="E5" s="3">
        <v>1.3</v>
      </c>
      <c r="F5" s="3">
        <v>6375.5399861599999</v>
      </c>
      <c r="G5" s="3">
        <v>66803.7</v>
      </c>
      <c r="H5" s="2">
        <v>46081</v>
      </c>
      <c r="I5" s="3" cm="1">
        <f t="array" ref="I5">_xldudf_HXMEDB(I4:J4,"2020/01/01","2026/02/28","Format(isAsc=N,Display=R,FillBlank=B,DecimalPoint=2,LineBlank=N)")</f>
        <v>6.3048016699999998</v>
      </c>
      <c r="J5" s="3">
        <v>2775181.27</v>
      </c>
    </row>
    <row r="6" spans="1:10">
      <c r="A6" s="2">
        <v>46053</v>
      </c>
      <c r="B6" s="3"/>
      <c r="C6" s="3">
        <v>35225.46</v>
      </c>
      <c r="D6" s="3">
        <v>-1.4</v>
      </c>
      <c r="E6" s="3">
        <v>0.2</v>
      </c>
      <c r="F6" s="3">
        <v>8659.3764034300002</v>
      </c>
      <c r="G6" s="3"/>
      <c r="H6" s="2">
        <v>46053</v>
      </c>
      <c r="I6" s="3"/>
      <c r="J6" s="3">
        <v>2766180.81</v>
      </c>
    </row>
    <row r="7" spans="1:10">
      <c r="A7" s="2">
        <v>46022</v>
      </c>
      <c r="B7" s="3">
        <v>3.9</v>
      </c>
      <c r="C7" s="3">
        <v>3491.54</v>
      </c>
      <c r="D7" s="3">
        <v>-1.9</v>
      </c>
      <c r="E7" s="3">
        <v>0.8</v>
      </c>
      <c r="F7" s="3">
        <v>8085.5498832100002</v>
      </c>
      <c r="G7" s="3">
        <v>67279.7</v>
      </c>
      <c r="H7" s="2">
        <v>46022</v>
      </c>
      <c r="I7" s="3">
        <v>5.2</v>
      </c>
      <c r="J7" s="3">
        <v>2719126.62</v>
      </c>
    </row>
    <row r="8" spans="1:10">
      <c r="A8" s="2">
        <v>45991</v>
      </c>
      <c r="B8" s="3">
        <v>4.5999999999999996</v>
      </c>
      <c r="C8" s="3">
        <v>1736.44</v>
      </c>
      <c r="D8" s="3">
        <v>-2.2000000000000002</v>
      </c>
      <c r="E8" s="3">
        <v>0.7</v>
      </c>
      <c r="F8" s="3">
        <v>7923.8847643700001</v>
      </c>
      <c r="G8" s="3">
        <v>69183.600000000006</v>
      </c>
      <c r="H8" s="2">
        <v>45991</v>
      </c>
      <c r="I8" s="3">
        <v>4.8</v>
      </c>
      <c r="J8" s="3">
        <v>2710007.31</v>
      </c>
    </row>
    <row r="9" spans="1:10">
      <c r="A9" s="2">
        <v>45961</v>
      </c>
      <c r="B9" s="3">
        <v>3.7</v>
      </c>
      <c r="C9" s="3">
        <v>-418.74</v>
      </c>
      <c r="D9" s="3">
        <v>-2.1</v>
      </c>
      <c r="E9" s="3">
        <v>0.2</v>
      </c>
      <c r="F9" s="3">
        <v>6359.1308534500004</v>
      </c>
      <c r="G9" s="3">
        <v>68225.600000000006</v>
      </c>
      <c r="H9" s="2">
        <v>45961</v>
      </c>
      <c r="I9" s="3">
        <v>4.9000000000000004</v>
      </c>
      <c r="J9" s="3">
        <v>2706067.18</v>
      </c>
    </row>
    <row r="10" spans="1:10">
      <c r="A10" s="2">
        <v>45930</v>
      </c>
      <c r="B10" s="3">
        <v>2.8</v>
      </c>
      <c r="C10" s="3">
        <v>11531.25</v>
      </c>
      <c r="D10" s="3">
        <v>-2.2999999999999998</v>
      </c>
      <c r="E10" s="3">
        <v>-0.3</v>
      </c>
      <c r="F10" s="3">
        <v>6399.6582933600002</v>
      </c>
      <c r="G10" s="3">
        <v>67097.8</v>
      </c>
      <c r="H10" s="2">
        <v>45930</v>
      </c>
      <c r="I10" s="3">
        <v>6.5</v>
      </c>
      <c r="J10" s="3">
        <v>2703902.22</v>
      </c>
    </row>
    <row r="11" spans="1:10">
      <c r="A11" s="2">
        <v>45900</v>
      </c>
      <c r="B11" s="3">
        <v>2.2999999999999998</v>
      </c>
      <c r="C11" s="3">
        <v>4923.87</v>
      </c>
      <c r="D11" s="3">
        <v>-2.9</v>
      </c>
      <c r="E11" s="3">
        <v>-0.4</v>
      </c>
      <c r="F11" s="3">
        <v>7256.4498975899996</v>
      </c>
      <c r="G11" s="3">
        <v>67316.5</v>
      </c>
      <c r="H11" s="2">
        <v>45900</v>
      </c>
      <c r="I11" s="3">
        <v>5.2</v>
      </c>
      <c r="J11" s="3">
        <v>2690987.15</v>
      </c>
    </row>
    <row r="12" spans="1:10">
      <c r="A12" s="2">
        <v>45869</v>
      </c>
      <c r="B12" s="3">
        <v>2.4</v>
      </c>
      <c r="C12" s="3">
        <v>-3629.1</v>
      </c>
      <c r="D12" s="3">
        <v>-3.6</v>
      </c>
      <c r="E12" s="3">
        <v>0</v>
      </c>
      <c r="F12" s="3">
        <v>6997.7727280199997</v>
      </c>
      <c r="G12" s="3">
        <v>66665.5</v>
      </c>
      <c r="H12" s="2">
        <v>45869</v>
      </c>
      <c r="I12" s="3">
        <v>5.7</v>
      </c>
      <c r="J12" s="3">
        <v>2685099.78</v>
      </c>
    </row>
    <row r="13" spans="1:10">
      <c r="A13" s="2">
        <v>45838</v>
      </c>
      <c r="B13" s="3">
        <v>3.1</v>
      </c>
      <c r="C13" s="3">
        <v>13412.16</v>
      </c>
      <c r="D13" s="3">
        <v>-3.6</v>
      </c>
      <c r="E13" s="3">
        <v>0.1</v>
      </c>
      <c r="F13" s="3">
        <v>8196.1384099400002</v>
      </c>
      <c r="G13" s="3">
        <v>66040.100000000006</v>
      </c>
      <c r="H13" s="2">
        <v>45838</v>
      </c>
      <c r="I13" s="3">
        <v>6.8</v>
      </c>
      <c r="J13" s="3">
        <v>2685590.16</v>
      </c>
    </row>
    <row r="14" spans="1:10">
      <c r="A14" s="2">
        <v>45808</v>
      </c>
      <c r="B14" s="3">
        <v>3.5</v>
      </c>
      <c r="C14" s="3">
        <v>4072.1</v>
      </c>
      <c r="D14" s="3">
        <v>-3.3</v>
      </c>
      <c r="E14" s="3">
        <v>-0.1</v>
      </c>
      <c r="F14" s="3">
        <v>7399.9511925300003</v>
      </c>
      <c r="G14" s="3">
        <v>66498.8</v>
      </c>
      <c r="H14" s="2">
        <v>45808</v>
      </c>
      <c r="I14" s="3">
        <v>5.8</v>
      </c>
      <c r="J14" s="3">
        <v>2663212.5</v>
      </c>
    </row>
    <row r="15" spans="1:10">
      <c r="A15" s="2">
        <v>45777</v>
      </c>
      <c r="B15" s="3">
        <v>3.9</v>
      </c>
      <c r="C15" s="3">
        <v>1279.75</v>
      </c>
      <c r="D15" s="3">
        <v>-2.7</v>
      </c>
      <c r="E15" s="3">
        <v>-0.1</v>
      </c>
      <c r="F15" s="3">
        <v>6875.83676199</v>
      </c>
      <c r="G15" s="3">
        <v>66144.100000000006</v>
      </c>
      <c r="H15" s="2">
        <v>45777</v>
      </c>
      <c r="I15" s="3">
        <v>6.1</v>
      </c>
      <c r="J15" s="3">
        <v>2656987.42</v>
      </c>
    </row>
    <row r="16" spans="1:10">
      <c r="A16" s="2">
        <v>45747</v>
      </c>
      <c r="B16" s="3">
        <v>4.2</v>
      </c>
      <c r="C16" s="3">
        <v>20810.099999999999</v>
      </c>
      <c r="D16" s="3">
        <v>-2.5</v>
      </c>
      <c r="E16" s="3">
        <v>-0.1</v>
      </c>
      <c r="F16" s="3">
        <v>7316.1347685199999</v>
      </c>
      <c r="G16" s="3">
        <v>65474.3</v>
      </c>
      <c r="H16" s="2">
        <v>45747</v>
      </c>
      <c r="I16" s="3">
        <v>7.7</v>
      </c>
      <c r="J16" s="3">
        <v>2654136.6800000002</v>
      </c>
    </row>
    <row r="17" spans="1:10">
      <c r="A17" s="2">
        <v>45716</v>
      </c>
      <c r="B17" s="3">
        <v>4.2</v>
      </c>
      <c r="C17" s="3">
        <v>4291.34</v>
      </c>
      <c r="D17" s="3">
        <v>-2.2000000000000002</v>
      </c>
      <c r="E17" s="3">
        <v>-0.7</v>
      </c>
      <c r="F17" s="3">
        <v>2244.1704742900001</v>
      </c>
      <c r="G17" s="3">
        <v>63697.1</v>
      </c>
      <c r="H17" s="2">
        <v>45716</v>
      </c>
      <c r="I17" s="3">
        <v>31.01750547</v>
      </c>
      <c r="J17" s="3">
        <v>2617778.0499999998</v>
      </c>
    </row>
    <row r="18" spans="1:10">
      <c r="A18" s="2">
        <v>45688</v>
      </c>
      <c r="B18" s="3"/>
      <c r="C18" s="3">
        <v>38894</v>
      </c>
      <c r="D18" s="3">
        <v>-2.2999999999999998</v>
      </c>
      <c r="E18" s="3">
        <v>0.5</v>
      </c>
      <c r="F18" s="3">
        <v>9919.3425502200007</v>
      </c>
      <c r="G18" s="3"/>
      <c r="H18" s="2">
        <v>45688</v>
      </c>
      <c r="I18" s="3"/>
      <c r="J18" s="3">
        <v>2607690.85</v>
      </c>
    </row>
    <row r="19" spans="1:10">
      <c r="A19" s="2">
        <v>45657</v>
      </c>
      <c r="B19" s="3">
        <v>3.3</v>
      </c>
      <c r="C19" s="3">
        <v>3395.47</v>
      </c>
      <c r="D19" s="3">
        <v>-2.2999999999999998</v>
      </c>
      <c r="E19" s="3">
        <v>0.1</v>
      </c>
      <c r="F19" s="3">
        <v>7553.4277571299999</v>
      </c>
      <c r="G19" s="3">
        <v>64367.199999999997</v>
      </c>
      <c r="H19" s="2">
        <v>45657</v>
      </c>
      <c r="I19" s="3">
        <v>6.2</v>
      </c>
      <c r="J19" s="3">
        <v>2556778.21</v>
      </c>
    </row>
    <row r="20" spans="1:10">
      <c r="A20" s="2">
        <v>45626</v>
      </c>
      <c r="B20" s="3">
        <v>3.3</v>
      </c>
      <c r="C20" s="3">
        <v>5176.6400000000003</v>
      </c>
      <c r="D20" s="3">
        <v>-2.5</v>
      </c>
      <c r="E20" s="3">
        <v>0.2</v>
      </c>
      <c r="F20" s="3">
        <v>6920.0577199999998</v>
      </c>
      <c r="G20" s="3">
        <v>65670.8</v>
      </c>
      <c r="H20" s="2">
        <v>45626</v>
      </c>
      <c r="I20" s="3">
        <v>5.4</v>
      </c>
      <c r="J20" s="3">
        <v>2546826.79</v>
      </c>
    </row>
    <row r="21" spans="1:10">
      <c r="A21" s="2">
        <v>45596</v>
      </c>
      <c r="B21" s="3">
        <v>3.9</v>
      </c>
      <c r="C21" s="3">
        <v>2812</v>
      </c>
      <c r="D21" s="3">
        <v>-2.9</v>
      </c>
      <c r="E21" s="3">
        <v>0.3</v>
      </c>
      <c r="F21" s="3">
        <v>6791.2231087199998</v>
      </c>
      <c r="G21" s="3">
        <v>65258.3</v>
      </c>
      <c r="H21" s="2">
        <v>45596</v>
      </c>
      <c r="I21" s="3">
        <v>5.3</v>
      </c>
      <c r="J21" s="3">
        <v>2541043.5699999998</v>
      </c>
    </row>
    <row r="22" spans="1:10">
      <c r="A22" s="2">
        <v>45565</v>
      </c>
      <c r="B22" s="3">
        <v>4.5999999999999996</v>
      </c>
      <c r="C22" s="3">
        <v>11875.49</v>
      </c>
      <c r="D22" s="3">
        <v>-2.8</v>
      </c>
      <c r="E22" s="3">
        <v>0.4</v>
      </c>
      <c r="F22" s="3">
        <v>5829.7112783499997</v>
      </c>
      <c r="G22" s="3">
        <v>64656.4</v>
      </c>
      <c r="H22" s="2">
        <v>45565</v>
      </c>
      <c r="I22" s="3">
        <v>5.4</v>
      </c>
      <c r="J22" s="3">
        <v>2536108.31</v>
      </c>
    </row>
    <row r="23" spans="1:10">
      <c r="A23" s="2">
        <v>45535</v>
      </c>
      <c r="B23" s="3">
        <v>5.0999999999999996</v>
      </c>
      <c r="C23" s="3">
        <v>6115.19</v>
      </c>
      <c r="D23" s="3">
        <v>-1.8</v>
      </c>
      <c r="E23" s="3">
        <v>0.6</v>
      </c>
      <c r="F23" s="3">
        <v>6531.2518385900003</v>
      </c>
      <c r="G23" s="3">
        <v>65259.1</v>
      </c>
      <c r="H23" s="2">
        <v>45535</v>
      </c>
      <c r="I23" s="3">
        <v>4.5</v>
      </c>
      <c r="J23" s="3">
        <v>2520166.54</v>
      </c>
    </row>
    <row r="24" spans="1:10">
      <c r="A24" s="2">
        <v>45504</v>
      </c>
      <c r="B24" s="3">
        <v>5.2</v>
      </c>
      <c r="C24" s="3">
        <v>1386.88</v>
      </c>
      <c r="D24" s="3">
        <v>-0.8</v>
      </c>
      <c r="E24" s="3">
        <v>0.5</v>
      </c>
      <c r="F24" s="3">
        <v>6078.2227887500003</v>
      </c>
      <c r="G24" s="3">
        <v>64661.3</v>
      </c>
      <c r="H24" s="2">
        <v>45504</v>
      </c>
      <c r="I24" s="3">
        <v>5.0999999999999996</v>
      </c>
      <c r="J24" s="3">
        <v>2511136.9</v>
      </c>
    </row>
    <row r="25" spans="1:10">
      <c r="A25" s="2">
        <v>45473</v>
      </c>
      <c r="B25" s="3">
        <v>4.7</v>
      </c>
      <c r="C25" s="3">
        <v>12885.47</v>
      </c>
      <c r="D25" s="3">
        <v>-0.8</v>
      </c>
      <c r="E25" s="3">
        <v>0.2</v>
      </c>
      <c r="F25" s="3">
        <v>7036.2487136099999</v>
      </c>
      <c r="G25" s="3">
        <v>63665.9</v>
      </c>
      <c r="H25" s="2">
        <v>45473</v>
      </c>
      <c r="I25" s="3">
        <v>5.3</v>
      </c>
      <c r="J25" s="3">
        <v>2508526.52</v>
      </c>
    </row>
    <row r="26" spans="1:10">
      <c r="A26" s="2">
        <v>45443</v>
      </c>
      <c r="B26" s="3">
        <v>3.6</v>
      </c>
      <c r="C26" s="3">
        <v>5526.15</v>
      </c>
      <c r="D26" s="3">
        <v>-1.4</v>
      </c>
      <c r="E26" s="3">
        <v>0.3</v>
      </c>
      <c r="F26" s="3">
        <v>5776.7025020499996</v>
      </c>
      <c r="G26" s="3">
        <v>63863.5</v>
      </c>
      <c r="H26" s="2">
        <v>45443</v>
      </c>
      <c r="I26" s="3">
        <v>5.6</v>
      </c>
      <c r="J26" s="3">
        <v>2487269.61</v>
      </c>
    </row>
    <row r="27" spans="1:10">
      <c r="A27" s="2">
        <v>45412</v>
      </c>
      <c r="B27" s="3">
        <v>3.1</v>
      </c>
      <c r="C27" s="3">
        <v>2415.4</v>
      </c>
      <c r="D27" s="3">
        <v>-2.5</v>
      </c>
      <c r="E27" s="3">
        <v>0.3</v>
      </c>
      <c r="F27" s="3">
        <v>5100.4501694</v>
      </c>
      <c r="G27" s="3">
        <v>63302.2</v>
      </c>
      <c r="H27" s="2">
        <v>45412</v>
      </c>
      <c r="I27" s="3">
        <v>6.7</v>
      </c>
      <c r="J27" s="3">
        <v>2477817.7200000002</v>
      </c>
    </row>
    <row r="28" spans="1:10">
      <c r="A28" s="2">
        <v>45382</v>
      </c>
      <c r="B28" s="3">
        <v>2.5</v>
      </c>
      <c r="C28" s="3">
        <v>20491.509999999998</v>
      </c>
      <c r="D28" s="3">
        <v>-2.8</v>
      </c>
      <c r="E28" s="3">
        <v>0.1</v>
      </c>
      <c r="F28" s="3">
        <v>4160.5728437500002</v>
      </c>
      <c r="G28" s="3">
        <v>62615.3</v>
      </c>
      <c r="H28" s="2">
        <v>45382</v>
      </c>
      <c r="I28" s="3">
        <v>4.5</v>
      </c>
      <c r="J28" s="3">
        <v>2470492.81</v>
      </c>
    </row>
    <row r="29" spans="1:10">
      <c r="A29" s="2">
        <v>45351</v>
      </c>
      <c r="B29" s="3">
        <v>2.4</v>
      </c>
      <c r="C29" s="3">
        <v>11889.88</v>
      </c>
      <c r="D29" s="3">
        <v>-2.7</v>
      </c>
      <c r="E29" s="3">
        <v>0.7</v>
      </c>
      <c r="F29" s="3">
        <v>2910.4545763900001</v>
      </c>
      <c r="G29" s="3">
        <v>60927.5</v>
      </c>
      <c r="H29" s="2">
        <v>45351</v>
      </c>
      <c r="I29" s="3">
        <v>-12.7</v>
      </c>
      <c r="J29" s="3">
        <v>2439604.04</v>
      </c>
    </row>
    <row r="30" spans="1:10">
      <c r="A30" s="2">
        <v>45322</v>
      </c>
      <c r="B30" s="3"/>
      <c r="C30" s="3">
        <v>39366.97</v>
      </c>
      <c r="D30" s="3">
        <v>-2.5</v>
      </c>
      <c r="E30" s="3">
        <v>-0.8</v>
      </c>
      <c r="F30" s="3">
        <v>5964.0358882600003</v>
      </c>
      <c r="G30" s="3"/>
      <c r="H30" s="2">
        <v>45322</v>
      </c>
      <c r="I30" s="3">
        <v>26.3</v>
      </c>
      <c r="J30" s="3">
        <v>2425047.89</v>
      </c>
    </row>
    <row r="31" spans="1:10">
      <c r="A31" s="2">
        <v>45291</v>
      </c>
      <c r="B31" s="3">
        <v>2.1</v>
      </c>
      <c r="C31" s="3">
        <v>10018.42</v>
      </c>
      <c r="D31" s="3">
        <v>-2.7</v>
      </c>
      <c r="E31" s="3">
        <v>-0.3</v>
      </c>
      <c r="F31" s="3">
        <v>5365.8430833000002</v>
      </c>
      <c r="G31" s="3">
        <v>61425.9</v>
      </c>
      <c r="H31" s="2">
        <v>45291</v>
      </c>
      <c r="I31" s="3">
        <v>6.8</v>
      </c>
      <c r="J31" s="3">
        <v>2375905.37</v>
      </c>
    </row>
    <row r="32" spans="1:10">
      <c r="A32" s="2">
        <v>45260</v>
      </c>
      <c r="B32" s="3">
        <v>1.7</v>
      </c>
      <c r="C32" s="3">
        <v>6791.09</v>
      </c>
      <c r="D32" s="3">
        <v>-3</v>
      </c>
      <c r="E32" s="3">
        <v>-0.5</v>
      </c>
      <c r="F32" s="3">
        <v>4956.3191724999997</v>
      </c>
      <c r="G32" s="3">
        <v>62860</v>
      </c>
      <c r="H32" s="2">
        <v>45260</v>
      </c>
      <c r="I32" s="3">
        <v>6.6</v>
      </c>
      <c r="J32" s="3">
        <v>2364196.44</v>
      </c>
    </row>
    <row r="33" spans="1:10">
      <c r="A33" s="2">
        <v>45230</v>
      </c>
      <c r="B33" s="3">
        <v>2</v>
      </c>
      <c r="C33" s="3">
        <v>4535.33</v>
      </c>
      <c r="D33" s="3">
        <v>-2.6</v>
      </c>
      <c r="E33" s="3">
        <v>-0.2</v>
      </c>
      <c r="F33" s="3">
        <v>4007.4794488799998</v>
      </c>
      <c r="G33" s="3">
        <v>62081.3</v>
      </c>
      <c r="H33" s="2">
        <v>45230</v>
      </c>
      <c r="I33" s="3">
        <v>4.5999999999999996</v>
      </c>
      <c r="J33" s="3">
        <v>2353309.12</v>
      </c>
    </row>
    <row r="34" spans="1:10">
      <c r="A34" s="2">
        <v>45199</v>
      </c>
      <c r="B34" s="3">
        <v>3.1</v>
      </c>
      <c r="C34" s="3">
        <v>17976.009999999998</v>
      </c>
      <c r="D34" s="3">
        <v>-2.5</v>
      </c>
      <c r="E34" s="3">
        <v>0</v>
      </c>
      <c r="F34" s="3">
        <v>5400.5888449000004</v>
      </c>
      <c r="G34" s="3">
        <v>61266.3</v>
      </c>
      <c r="H34" s="2">
        <v>45199</v>
      </c>
      <c r="I34" s="3">
        <v>4.5</v>
      </c>
      <c r="J34" s="3">
        <v>2345924.92</v>
      </c>
    </row>
    <row r="35" spans="1:10">
      <c r="A35" s="2">
        <v>45169</v>
      </c>
      <c r="B35" s="3">
        <v>2.4</v>
      </c>
      <c r="C35" s="3">
        <v>8045.43</v>
      </c>
      <c r="D35" s="3">
        <v>-3</v>
      </c>
      <c r="E35" s="3">
        <v>0.1</v>
      </c>
      <c r="F35" s="3">
        <v>4798.7074132799999</v>
      </c>
      <c r="G35" s="3">
        <v>61549.7</v>
      </c>
      <c r="H35" s="2">
        <v>45169</v>
      </c>
      <c r="I35" s="3">
        <v>4.5</v>
      </c>
      <c r="J35" s="3">
        <v>2322806.64</v>
      </c>
    </row>
    <row r="36" spans="1:10">
      <c r="A36" s="2">
        <v>45138</v>
      </c>
      <c r="B36" s="3">
        <v>1.6</v>
      </c>
      <c r="C36" s="3">
        <v>2039.75</v>
      </c>
      <c r="D36" s="3">
        <v>-4.4000000000000004</v>
      </c>
      <c r="E36" s="3">
        <v>-0.3</v>
      </c>
      <c r="F36" s="3">
        <v>5667.2752442000001</v>
      </c>
      <c r="G36" s="3">
        <v>61023.5</v>
      </c>
      <c r="H36" s="2">
        <v>45138</v>
      </c>
      <c r="I36" s="3">
        <v>3.7</v>
      </c>
      <c r="J36" s="3">
        <v>2309226.1800000002</v>
      </c>
    </row>
    <row r="37" spans="1:10">
      <c r="A37" s="2">
        <v>45107</v>
      </c>
      <c r="B37" s="3">
        <v>2.2000000000000002</v>
      </c>
      <c r="C37" s="3">
        <v>20648.3</v>
      </c>
      <c r="D37" s="3">
        <v>-5.4</v>
      </c>
      <c r="E37" s="3">
        <v>0</v>
      </c>
      <c r="F37" s="3">
        <v>4835.7273893199999</v>
      </c>
      <c r="G37" s="3">
        <v>60495.199999999997</v>
      </c>
      <c r="H37" s="2">
        <v>45107</v>
      </c>
      <c r="I37" s="3">
        <v>4.4000000000000004</v>
      </c>
      <c r="J37" s="3">
        <v>2305766.69</v>
      </c>
    </row>
    <row r="38" spans="1:10">
      <c r="A38" s="2">
        <v>45077</v>
      </c>
      <c r="B38" s="3">
        <v>3.2</v>
      </c>
      <c r="C38" s="3">
        <v>9381.57</v>
      </c>
      <c r="D38" s="3">
        <v>-4.5999999999999996</v>
      </c>
      <c r="E38" s="3">
        <v>0.2</v>
      </c>
      <c r="F38" s="3">
        <v>4477.5481108900003</v>
      </c>
      <c r="G38" s="3">
        <v>61371</v>
      </c>
      <c r="H38" s="2">
        <v>45077</v>
      </c>
      <c r="I38" s="3">
        <v>3.5</v>
      </c>
      <c r="J38" s="3">
        <v>2275271.41</v>
      </c>
    </row>
    <row r="39" spans="1:10">
      <c r="A39" s="2">
        <v>45046</v>
      </c>
      <c r="B39" s="3">
        <v>5.9</v>
      </c>
      <c r="C39" s="3">
        <v>5513.04</v>
      </c>
      <c r="D39" s="3">
        <v>-3.6</v>
      </c>
      <c r="E39" s="3">
        <v>0.1</v>
      </c>
      <c r="F39" s="3">
        <v>5830.1616446400003</v>
      </c>
      <c r="G39" s="3">
        <v>61343.6</v>
      </c>
      <c r="H39" s="2">
        <v>45046</v>
      </c>
      <c r="I39" s="3">
        <v>5.6</v>
      </c>
      <c r="J39" s="3">
        <v>2261643.4700000002</v>
      </c>
    </row>
    <row r="40" spans="1:10">
      <c r="A40" s="2">
        <v>45016</v>
      </c>
      <c r="B40" s="3">
        <v>9.1</v>
      </c>
      <c r="C40" s="3">
        <v>26956.66</v>
      </c>
      <c r="D40" s="3">
        <v>-2.5</v>
      </c>
      <c r="E40" s="3">
        <v>0.7</v>
      </c>
      <c r="F40" s="3">
        <v>5251.9751322800003</v>
      </c>
      <c r="G40" s="3">
        <v>61405.2</v>
      </c>
      <c r="H40" s="2">
        <v>45016</v>
      </c>
      <c r="I40" s="3">
        <v>3.9</v>
      </c>
      <c r="J40" s="3">
        <v>2254455.1</v>
      </c>
    </row>
    <row r="41" spans="1:10">
      <c r="A41" s="2">
        <v>44985</v>
      </c>
      <c r="B41" s="3">
        <v>10.7</v>
      </c>
      <c r="C41" s="3">
        <v>11991.05</v>
      </c>
      <c r="D41" s="3">
        <v>-1.4</v>
      </c>
      <c r="E41" s="3">
        <v>1</v>
      </c>
      <c r="F41" s="3">
        <v>798.00424104000001</v>
      </c>
      <c r="G41" s="3">
        <v>59887.1</v>
      </c>
      <c r="H41" s="2">
        <v>44985</v>
      </c>
      <c r="I41" s="3">
        <v>18.774815660000002</v>
      </c>
      <c r="J41" s="3">
        <v>2215575.67</v>
      </c>
    </row>
    <row r="42" spans="1:10">
      <c r="A42" s="2">
        <v>44957</v>
      </c>
      <c r="B42" s="3"/>
      <c r="C42" s="3">
        <v>40817.94</v>
      </c>
      <c r="D42" s="3">
        <v>-0.8</v>
      </c>
      <c r="E42" s="3">
        <v>2.1</v>
      </c>
      <c r="F42" s="3">
        <v>6412.9894360300004</v>
      </c>
      <c r="G42" s="3"/>
      <c r="H42" s="2">
        <v>44957</v>
      </c>
      <c r="I42" s="3">
        <v>-9.7931616720000001</v>
      </c>
      <c r="J42" s="3">
        <v>2197455.14</v>
      </c>
    </row>
    <row r="43" spans="1:10">
      <c r="A43" s="2">
        <v>44926</v>
      </c>
      <c r="B43" s="3">
        <v>9.9</v>
      </c>
      <c r="C43" s="3">
        <v>13921.58</v>
      </c>
      <c r="D43" s="3">
        <v>-0.7</v>
      </c>
      <c r="E43" s="3">
        <v>1.8</v>
      </c>
      <c r="F43" s="3">
        <v>4866.8437674799998</v>
      </c>
      <c r="G43" s="3">
        <v>60363.199999999997</v>
      </c>
      <c r="H43" s="2">
        <v>44926</v>
      </c>
      <c r="I43" s="3">
        <v>1.3</v>
      </c>
      <c r="J43" s="3">
        <v>2139852.67</v>
      </c>
    </row>
    <row r="44" spans="1:10">
      <c r="A44" s="2">
        <v>44895</v>
      </c>
      <c r="B44" s="3">
        <v>11.4</v>
      </c>
      <c r="C44" s="3">
        <v>9469.64</v>
      </c>
      <c r="D44" s="3">
        <v>-1.3</v>
      </c>
      <c r="E44" s="3">
        <v>1.6</v>
      </c>
      <c r="F44" s="3">
        <v>4654.1459306300003</v>
      </c>
      <c r="G44" s="3">
        <v>61943.5</v>
      </c>
      <c r="H44" s="2">
        <v>44895</v>
      </c>
      <c r="I44" s="3">
        <v>2.2000000000000002</v>
      </c>
      <c r="J44" s="3">
        <v>2125869.63</v>
      </c>
    </row>
    <row r="45" spans="1:10">
      <c r="A45" s="2">
        <v>44865</v>
      </c>
      <c r="B45" s="3">
        <v>12.6</v>
      </c>
      <c r="C45" s="3">
        <v>4955.18</v>
      </c>
      <c r="D45" s="3">
        <v>-1.3</v>
      </c>
      <c r="E45" s="3">
        <v>2.1</v>
      </c>
      <c r="F45" s="3">
        <v>5620.36135913</v>
      </c>
      <c r="G45" s="3">
        <v>60955.199999999997</v>
      </c>
      <c r="H45" s="2">
        <v>44865</v>
      </c>
      <c r="I45" s="3">
        <v>5</v>
      </c>
      <c r="J45" s="3">
        <v>2113733.7000000002</v>
      </c>
    </row>
    <row r="46" spans="1:10">
      <c r="A46" s="2">
        <v>44834</v>
      </c>
      <c r="B46" s="3">
        <v>13.8</v>
      </c>
      <c r="C46" s="3">
        <v>17005.55</v>
      </c>
      <c r="D46" s="3">
        <v>0.94799999999999995</v>
      </c>
      <c r="E46" s="3">
        <v>2.8</v>
      </c>
      <c r="F46" s="3">
        <v>5558.6576842200002</v>
      </c>
      <c r="G46" s="3">
        <v>59566.9</v>
      </c>
      <c r="H46" s="2">
        <v>44834</v>
      </c>
      <c r="I46" s="3">
        <v>6.3</v>
      </c>
      <c r="J46" s="3">
        <v>2107581.92</v>
      </c>
    </row>
    <row r="47" spans="1:10">
      <c r="A47" s="2">
        <v>44804</v>
      </c>
      <c r="B47" s="3">
        <v>14.1</v>
      </c>
      <c r="C47" s="3">
        <v>10010.120000000001</v>
      </c>
      <c r="D47" s="3">
        <v>2.2999999999999998</v>
      </c>
      <c r="E47" s="3">
        <v>2.5</v>
      </c>
      <c r="F47" s="3">
        <v>5197.1672716499997</v>
      </c>
      <c r="G47" s="3">
        <v>60185.8</v>
      </c>
      <c r="H47" s="2">
        <v>44804</v>
      </c>
      <c r="I47" s="3">
        <v>4.2</v>
      </c>
      <c r="J47" s="3">
        <v>2082843.52</v>
      </c>
    </row>
    <row r="48" spans="1:10">
      <c r="A48" s="2">
        <v>44773</v>
      </c>
      <c r="B48" s="3">
        <v>16.8</v>
      </c>
      <c r="C48" s="3">
        <v>4944.18</v>
      </c>
      <c r="D48" s="3">
        <v>4.2</v>
      </c>
      <c r="E48" s="3">
        <v>2.7</v>
      </c>
      <c r="F48" s="3">
        <v>6622.3865350899996</v>
      </c>
      <c r="G48" s="3">
        <v>60071.8</v>
      </c>
      <c r="H48" s="2">
        <v>44773</v>
      </c>
      <c r="I48" s="3">
        <v>3.8</v>
      </c>
      <c r="J48" s="3">
        <v>2070301.63</v>
      </c>
    </row>
    <row r="49" spans="1:10">
      <c r="A49" s="2">
        <v>44742</v>
      </c>
      <c r="B49" s="3">
        <v>18.899999999999999</v>
      </c>
      <c r="C49" s="3">
        <v>18714.46</v>
      </c>
      <c r="D49" s="3">
        <v>6.1</v>
      </c>
      <c r="E49" s="3">
        <v>2.5</v>
      </c>
      <c r="F49" s="3">
        <v>6183.9916823499998</v>
      </c>
      <c r="G49" s="3">
        <v>59346.2</v>
      </c>
      <c r="H49" s="2">
        <v>44742</v>
      </c>
      <c r="I49" s="3">
        <v>3.9</v>
      </c>
      <c r="J49" s="3">
        <v>2063511.81</v>
      </c>
    </row>
    <row r="50" spans="1:10">
      <c r="A50" s="2">
        <v>44712</v>
      </c>
      <c r="B50" s="3">
        <v>19.7</v>
      </c>
      <c r="C50" s="3">
        <v>6598.43</v>
      </c>
      <c r="D50" s="3">
        <v>6.4</v>
      </c>
      <c r="E50" s="3">
        <v>2.1</v>
      </c>
      <c r="F50" s="3">
        <v>4858.8337933800003</v>
      </c>
      <c r="G50" s="3">
        <v>59583.8</v>
      </c>
      <c r="H50" s="2">
        <v>44712</v>
      </c>
      <c r="I50" s="3">
        <v>0.7</v>
      </c>
      <c r="J50" s="3">
        <v>2035448.45</v>
      </c>
    </row>
    <row r="51" spans="1:10">
      <c r="A51" s="2">
        <v>44681</v>
      </c>
      <c r="B51" s="3">
        <v>20</v>
      </c>
      <c r="C51" s="3">
        <v>2337.88</v>
      </c>
      <c r="D51" s="3">
        <v>8</v>
      </c>
      <c r="E51" s="3">
        <v>2.1</v>
      </c>
      <c r="F51" s="3">
        <v>2942.5284634899999</v>
      </c>
      <c r="G51" s="3">
        <v>57875</v>
      </c>
      <c r="H51" s="2">
        <v>44681</v>
      </c>
      <c r="I51" s="3">
        <v>-2.9</v>
      </c>
      <c r="J51" s="3">
        <v>2016564.32</v>
      </c>
    </row>
    <row r="52" spans="1:10">
      <c r="A52" s="2">
        <v>44651</v>
      </c>
      <c r="B52" s="3">
        <v>18.100000000000001</v>
      </c>
      <c r="C52" s="3">
        <v>17136.52</v>
      </c>
      <c r="D52" s="3">
        <v>8.3000000000000007</v>
      </c>
      <c r="E52" s="3">
        <v>1.5</v>
      </c>
      <c r="F52" s="3">
        <v>2718.6014000199998</v>
      </c>
      <c r="G52" s="3">
        <v>56061</v>
      </c>
      <c r="H52" s="2">
        <v>44651</v>
      </c>
      <c r="I52" s="3">
        <v>5</v>
      </c>
      <c r="J52" s="3">
        <v>2010110.55</v>
      </c>
    </row>
    <row r="53" spans="1:10">
      <c r="A53" s="2">
        <v>44620</v>
      </c>
      <c r="B53" s="3">
        <v>16.8</v>
      </c>
      <c r="C53" s="3">
        <v>4593.55</v>
      </c>
      <c r="D53" s="3">
        <v>8.8000000000000007</v>
      </c>
      <c r="E53" s="3">
        <v>0.9</v>
      </c>
      <c r="F53" s="3">
        <v>1663.9839660499999</v>
      </c>
      <c r="G53" s="3">
        <v>53820.6</v>
      </c>
      <c r="H53" s="2">
        <v>44620</v>
      </c>
      <c r="I53" s="3">
        <v>12.79590531</v>
      </c>
      <c r="J53" s="3">
        <v>1978857.03</v>
      </c>
    </row>
    <row r="54" spans="1:10">
      <c r="A54" s="2">
        <v>44592</v>
      </c>
      <c r="B54" s="3"/>
      <c r="C54" s="3">
        <v>27668.68</v>
      </c>
      <c r="D54" s="3">
        <v>9.1</v>
      </c>
      <c r="E54" s="3">
        <v>0.9</v>
      </c>
      <c r="F54" s="3">
        <v>5058.2509594900002</v>
      </c>
      <c r="G54" s="3"/>
      <c r="H54" s="2">
        <v>44592</v>
      </c>
      <c r="I54" s="3">
        <v>3.8579570360000002</v>
      </c>
      <c r="J54" s="3">
        <v>1966521.17</v>
      </c>
    </row>
    <row r="55" spans="1:10">
      <c r="A55" s="2">
        <v>44561</v>
      </c>
      <c r="B55" s="3">
        <v>17.100000000000001</v>
      </c>
      <c r="C55" s="3">
        <v>6894.73</v>
      </c>
      <c r="D55" s="3">
        <v>10.3</v>
      </c>
      <c r="E55" s="3">
        <v>1.5</v>
      </c>
      <c r="F55" s="3">
        <v>5966.8357992399997</v>
      </c>
      <c r="G55" s="3">
        <v>53986.1</v>
      </c>
      <c r="H55" s="2">
        <v>44561</v>
      </c>
      <c r="I55" s="3">
        <v>4.3</v>
      </c>
      <c r="J55" s="3">
        <v>1926902.81</v>
      </c>
    </row>
    <row r="56" spans="1:10">
      <c r="A56" s="2">
        <v>44530</v>
      </c>
      <c r="B56" s="3">
        <v>17.899999999999999</v>
      </c>
      <c r="C56" s="3">
        <v>9237.81</v>
      </c>
      <c r="D56" s="3">
        <v>12.9</v>
      </c>
      <c r="E56" s="3">
        <v>2.2999999999999998</v>
      </c>
      <c r="F56" s="3">
        <v>4578.7524524600003</v>
      </c>
      <c r="G56" s="3">
        <v>54780.5</v>
      </c>
      <c r="H56" s="2">
        <v>44530</v>
      </c>
      <c r="I56" s="3">
        <v>3.8</v>
      </c>
      <c r="J56" s="3">
        <v>1915584.74</v>
      </c>
    </row>
    <row r="57" spans="1:10">
      <c r="A57" s="2">
        <v>44500</v>
      </c>
      <c r="B57" s="3">
        <v>16.3</v>
      </c>
      <c r="C57" s="3">
        <v>6410.56</v>
      </c>
      <c r="D57" s="3">
        <v>13.5</v>
      </c>
      <c r="E57" s="3">
        <v>1.5</v>
      </c>
      <c r="F57" s="3">
        <v>5452.6074572899997</v>
      </c>
      <c r="G57" s="3">
        <v>53263.7</v>
      </c>
      <c r="H57" s="2">
        <v>44500</v>
      </c>
      <c r="I57" s="3">
        <v>3.5</v>
      </c>
      <c r="J57" s="3">
        <v>1902852.75</v>
      </c>
    </row>
    <row r="58" spans="1:10">
      <c r="A58" s="2">
        <v>44469</v>
      </c>
      <c r="B58" s="3">
        <v>13.7</v>
      </c>
      <c r="C58" s="3">
        <v>11640.91</v>
      </c>
      <c r="D58" s="3">
        <v>10.7</v>
      </c>
      <c r="E58" s="3">
        <v>0.7</v>
      </c>
      <c r="F58" s="3">
        <v>4382.41094651</v>
      </c>
      <c r="G58" s="3">
        <v>51544.2</v>
      </c>
      <c r="H58" s="2">
        <v>44469</v>
      </c>
      <c r="I58" s="3">
        <v>3.1</v>
      </c>
      <c r="J58" s="3">
        <v>1894591.04</v>
      </c>
    </row>
    <row r="59" spans="1:10">
      <c r="A59" s="2">
        <v>44439</v>
      </c>
      <c r="B59" s="3">
        <v>14.2</v>
      </c>
      <c r="C59" s="3">
        <v>9473.64</v>
      </c>
      <c r="D59" s="3">
        <v>9.5</v>
      </c>
      <c r="E59" s="3">
        <v>0.8</v>
      </c>
      <c r="F59" s="3">
        <v>3769.0180010700001</v>
      </c>
      <c r="G59" s="3">
        <v>52011.199999999997</v>
      </c>
      <c r="H59" s="2">
        <v>44439</v>
      </c>
      <c r="I59" s="3">
        <v>5.3</v>
      </c>
      <c r="J59" s="3">
        <v>1877960.82</v>
      </c>
    </row>
    <row r="60" spans="1:10">
      <c r="A60" s="2">
        <v>44408</v>
      </c>
      <c r="B60" s="3">
        <v>13</v>
      </c>
      <c r="C60" s="3">
        <v>8910.91</v>
      </c>
      <c r="D60" s="3">
        <v>9</v>
      </c>
      <c r="E60" s="3">
        <v>1</v>
      </c>
      <c r="F60" s="3">
        <v>3514.4548982900001</v>
      </c>
      <c r="G60" s="3">
        <v>50825.599999999999</v>
      </c>
      <c r="H60" s="2">
        <v>44408</v>
      </c>
      <c r="I60" s="3">
        <v>6.4</v>
      </c>
      <c r="J60" s="3">
        <v>1865808.38</v>
      </c>
    </row>
    <row r="61" spans="1:10">
      <c r="A61" s="2">
        <v>44377</v>
      </c>
      <c r="B61" s="3">
        <v>11.3</v>
      </c>
      <c r="C61" s="3">
        <v>13540.21</v>
      </c>
      <c r="D61" s="3">
        <v>8.8000000000000007</v>
      </c>
      <c r="E61" s="3">
        <v>1.1000000000000001</v>
      </c>
      <c r="F61" s="3">
        <v>3193.9132042800002</v>
      </c>
      <c r="G61" s="3">
        <v>49471.6</v>
      </c>
      <c r="H61" s="2">
        <v>44377</v>
      </c>
      <c r="I61" s="3">
        <v>8.3000000000000007</v>
      </c>
      <c r="J61" s="3">
        <v>1854976.71</v>
      </c>
    </row>
    <row r="62" spans="1:10">
      <c r="A62" s="2">
        <v>44347</v>
      </c>
      <c r="B62" s="3">
        <v>10.199999999999999</v>
      </c>
      <c r="C62" s="3">
        <v>10953.9</v>
      </c>
      <c r="D62" s="3">
        <v>9</v>
      </c>
      <c r="E62" s="3">
        <v>1.3</v>
      </c>
      <c r="F62" s="3">
        <v>2784.3390666700002</v>
      </c>
      <c r="G62" s="3">
        <v>49325.3</v>
      </c>
      <c r="H62" s="2">
        <v>44347</v>
      </c>
      <c r="I62" s="3">
        <v>8.8000000000000007</v>
      </c>
      <c r="J62" s="3">
        <v>1833780.32</v>
      </c>
    </row>
    <row r="63" spans="1:10">
      <c r="A63" s="2">
        <v>44316</v>
      </c>
      <c r="B63" s="3">
        <v>8.1999999999999993</v>
      </c>
      <c r="C63" s="3">
        <v>11523.01</v>
      </c>
      <c r="D63" s="3">
        <v>6.8</v>
      </c>
      <c r="E63" s="3">
        <v>0.9</v>
      </c>
      <c r="F63" s="3">
        <v>2608.4806916900002</v>
      </c>
      <c r="G63" s="3">
        <v>47897.2</v>
      </c>
      <c r="H63" s="2">
        <v>44316</v>
      </c>
      <c r="I63" s="3">
        <v>9.8000000000000007</v>
      </c>
      <c r="J63" s="3">
        <v>1818816.61</v>
      </c>
    </row>
    <row r="64" spans="1:10">
      <c r="A64" s="2">
        <v>44286</v>
      </c>
      <c r="B64" s="3">
        <v>8.5</v>
      </c>
      <c r="C64" s="3">
        <v>19461.68</v>
      </c>
      <c r="D64" s="3">
        <v>4.4000000000000004</v>
      </c>
      <c r="E64" s="3">
        <v>0.4</v>
      </c>
      <c r="F64" s="3">
        <v>735.54759963000004</v>
      </c>
      <c r="G64" s="3">
        <v>47275.8</v>
      </c>
      <c r="H64" s="2">
        <v>44286</v>
      </c>
      <c r="I64" s="3">
        <v>14.1</v>
      </c>
      <c r="J64" s="3">
        <v>1804131.37</v>
      </c>
    </row>
    <row r="65" spans="1:10">
      <c r="A65" s="2">
        <v>44255</v>
      </c>
      <c r="B65" s="3">
        <v>8.6</v>
      </c>
      <c r="C65" s="3">
        <v>15155</v>
      </c>
      <c r="D65" s="3">
        <v>1.7</v>
      </c>
      <c r="E65" s="3">
        <v>-0.2</v>
      </c>
      <c r="F65" s="3">
        <v>2286.9439901800001</v>
      </c>
      <c r="G65" s="3">
        <v>46031.9</v>
      </c>
      <c r="H65" s="2">
        <v>44255</v>
      </c>
      <c r="I65" s="3">
        <v>52.339181289999999</v>
      </c>
      <c r="J65" s="3">
        <v>1776828.68</v>
      </c>
    </row>
    <row r="66" spans="1:10">
      <c r="A66" s="2">
        <v>44227</v>
      </c>
      <c r="B66" s="3"/>
      <c r="C66" s="3">
        <v>30316.25</v>
      </c>
      <c r="D66" s="3">
        <v>0.3</v>
      </c>
      <c r="E66" s="3">
        <v>-0.3</v>
      </c>
      <c r="F66" s="3">
        <v>4026.9969317300001</v>
      </c>
      <c r="G66" s="3"/>
      <c r="H66" s="2">
        <v>44227</v>
      </c>
      <c r="I66" s="3">
        <v>25.398570639999999</v>
      </c>
      <c r="J66" s="3">
        <v>1763234.93</v>
      </c>
    </row>
    <row r="67" spans="1:10">
      <c r="A67" s="2">
        <v>44196</v>
      </c>
      <c r="B67" s="3">
        <v>7.5</v>
      </c>
      <c r="C67" s="3">
        <v>9849.33</v>
      </c>
      <c r="D67" s="3">
        <v>-0.4</v>
      </c>
      <c r="E67" s="3">
        <v>0.2</v>
      </c>
      <c r="F67" s="3">
        <v>5013.0410269000004</v>
      </c>
      <c r="G67" s="3">
        <v>46018.6</v>
      </c>
      <c r="H67" s="2">
        <v>44196</v>
      </c>
      <c r="I67" s="3">
        <v>7.3</v>
      </c>
      <c r="J67" s="3">
        <v>1727452.07</v>
      </c>
    </row>
    <row r="68" spans="1:10">
      <c r="A68" s="2">
        <v>44165</v>
      </c>
      <c r="B68" s="3">
        <v>7.3</v>
      </c>
      <c r="C68" s="3">
        <v>10935.74</v>
      </c>
      <c r="D68" s="3">
        <v>-1.5</v>
      </c>
      <c r="E68" s="3">
        <v>-0.5</v>
      </c>
      <c r="F68" s="3">
        <v>4992.5493329700003</v>
      </c>
      <c r="G68" s="3">
        <v>46421.1</v>
      </c>
      <c r="H68" s="2">
        <v>44165</v>
      </c>
      <c r="I68" s="3">
        <v>7</v>
      </c>
      <c r="J68" s="3">
        <v>1714899.83</v>
      </c>
    </row>
    <row r="69" spans="1:10">
      <c r="A69" s="2">
        <v>44135</v>
      </c>
      <c r="B69" s="3">
        <v>6.9</v>
      </c>
      <c r="C69" s="3">
        <v>8171.77</v>
      </c>
      <c r="D69" s="3">
        <v>-2.1</v>
      </c>
      <c r="E69" s="3">
        <v>0.5</v>
      </c>
      <c r="F69" s="3">
        <v>3943.5129380399999</v>
      </c>
      <c r="G69" s="3">
        <v>45771</v>
      </c>
      <c r="H69" s="2">
        <v>44135</v>
      </c>
      <c r="I69" s="3">
        <v>6.9</v>
      </c>
      <c r="J69" s="3">
        <v>1700563.15</v>
      </c>
    </row>
    <row r="70" spans="1:10">
      <c r="A70" s="2">
        <v>44104</v>
      </c>
      <c r="B70" s="3">
        <v>8.1999999999999993</v>
      </c>
      <c r="C70" s="3">
        <v>17032.599999999999</v>
      </c>
      <c r="D70" s="3">
        <v>-2.1</v>
      </c>
      <c r="E70" s="3">
        <v>1.72</v>
      </c>
      <c r="F70" s="3">
        <v>2462.8976771399998</v>
      </c>
      <c r="G70" s="3">
        <v>45278.400000000001</v>
      </c>
      <c r="H70" s="2">
        <v>44104</v>
      </c>
      <c r="I70" s="3">
        <v>6.9</v>
      </c>
      <c r="J70" s="3">
        <v>1693665.4</v>
      </c>
    </row>
    <row r="71" spans="1:10">
      <c r="A71" s="2">
        <v>44074</v>
      </c>
      <c r="B71" s="3">
        <v>7.9</v>
      </c>
      <c r="C71" s="3">
        <v>12823.01</v>
      </c>
      <c r="D71" s="3">
        <v>-2</v>
      </c>
      <c r="E71" s="3">
        <v>2.38</v>
      </c>
      <c r="F71" s="3">
        <v>4039.2714579100002</v>
      </c>
      <c r="G71" s="3">
        <v>45499.4</v>
      </c>
      <c r="H71" s="2">
        <v>44074</v>
      </c>
      <c r="I71" s="3">
        <v>5.6</v>
      </c>
      <c r="J71" s="3">
        <v>1674708.18</v>
      </c>
    </row>
    <row r="72" spans="1:10">
      <c r="A72" s="2">
        <v>44043</v>
      </c>
      <c r="B72" s="3">
        <v>7.4</v>
      </c>
      <c r="C72" s="3">
        <v>12035.04</v>
      </c>
      <c r="D72" s="3">
        <v>-2.4</v>
      </c>
      <c r="E72" s="3">
        <v>2.7</v>
      </c>
      <c r="F72" s="3">
        <v>4279.2162329700004</v>
      </c>
      <c r="G72" s="3">
        <v>44848.2</v>
      </c>
      <c r="H72" s="2">
        <v>44043</v>
      </c>
      <c r="I72" s="3">
        <v>4.8</v>
      </c>
      <c r="J72" s="3">
        <v>1661925.21</v>
      </c>
    </row>
    <row r="73" spans="1:10">
      <c r="A73" s="2">
        <v>44012</v>
      </c>
      <c r="B73" s="3">
        <v>8.3000000000000007</v>
      </c>
      <c r="C73" s="3">
        <v>13640.91</v>
      </c>
      <c r="D73" s="3">
        <v>-3</v>
      </c>
      <c r="E73" s="3">
        <v>2.48</v>
      </c>
      <c r="F73" s="3">
        <v>3165.7708383899999</v>
      </c>
      <c r="G73" s="3">
        <v>44403.3</v>
      </c>
      <c r="H73" s="2">
        <v>44012</v>
      </c>
      <c r="I73" s="3">
        <v>4.8</v>
      </c>
      <c r="J73" s="3">
        <v>1651998.58</v>
      </c>
    </row>
    <row r="74" spans="1:10">
      <c r="A74" s="2">
        <v>43982</v>
      </c>
      <c r="B74" s="3">
        <v>9</v>
      </c>
      <c r="C74" s="3">
        <v>9966.2199999999993</v>
      </c>
      <c r="D74" s="3">
        <v>-3.7</v>
      </c>
      <c r="E74" s="3">
        <v>2.44</v>
      </c>
      <c r="F74" s="3">
        <v>4335.4782065299996</v>
      </c>
      <c r="G74" s="3">
        <v>44731.3</v>
      </c>
      <c r="H74" s="2">
        <v>43982</v>
      </c>
      <c r="I74" s="3">
        <v>4.4000000000000004</v>
      </c>
      <c r="J74" s="3">
        <v>1633888.15</v>
      </c>
    </row>
    <row r="75" spans="1:10">
      <c r="A75" s="2">
        <v>43951</v>
      </c>
      <c r="B75" s="3">
        <v>10.6</v>
      </c>
      <c r="C75" s="3">
        <v>9936.67</v>
      </c>
      <c r="D75" s="3">
        <v>-3.1</v>
      </c>
      <c r="E75" s="3">
        <v>3.3</v>
      </c>
      <c r="F75" s="3">
        <v>3152.8942729400001</v>
      </c>
      <c r="G75" s="3">
        <v>44277.2</v>
      </c>
      <c r="H75" s="2">
        <v>43951</v>
      </c>
      <c r="I75" s="3">
        <v>3.9</v>
      </c>
      <c r="J75" s="3">
        <v>1619066.91</v>
      </c>
    </row>
    <row r="76" spans="1:10">
      <c r="A76" s="2">
        <v>43921</v>
      </c>
      <c r="B76" s="3">
        <v>14.9</v>
      </c>
      <c r="C76" s="3">
        <v>14391.6</v>
      </c>
      <c r="D76" s="3">
        <v>-1.5</v>
      </c>
      <c r="E76" s="3">
        <v>4.2699999999999996</v>
      </c>
      <c r="F76" s="3">
        <v>1398.65697862</v>
      </c>
      <c r="G76" s="3">
        <v>43829.7</v>
      </c>
      <c r="H76" s="2">
        <v>43921</v>
      </c>
      <c r="I76" s="3">
        <v>-1.1000000000000001</v>
      </c>
      <c r="J76" s="3">
        <v>1602089.22</v>
      </c>
    </row>
    <row r="77" spans="1:10">
      <c r="A77" s="2">
        <v>43890</v>
      </c>
      <c r="B77" s="3">
        <v>8.6999999999999993</v>
      </c>
      <c r="C77" s="3">
        <v>4528</v>
      </c>
      <c r="D77" s="3">
        <v>-0.4</v>
      </c>
      <c r="E77" s="3">
        <v>5.17</v>
      </c>
      <c r="F77" s="3">
        <v>-4269.8570654699997</v>
      </c>
      <c r="G77" s="3">
        <v>42486.2</v>
      </c>
      <c r="H77" s="2">
        <v>43890</v>
      </c>
      <c r="I77" s="3">
        <v>-25.867052019999999</v>
      </c>
      <c r="J77" s="3">
        <v>1573554.86</v>
      </c>
    </row>
    <row r="78" spans="1:10">
      <c r="A78" s="2">
        <v>43861</v>
      </c>
      <c r="B78" s="3"/>
      <c r="C78" s="3">
        <v>42731.56</v>
      </c>
      <c r="D78" s="3">
        <v>0.1</v>
      </c>
      <c r="E78" s="3">
        <v>5.38</v>
      </c>
      <c r="F78" s="3">
        <v>3829.0004083399999</v>
      </c>
      <c r="G78" s="3"/>
      <c r="H78" s="2">
        <v>43861</v>
      </c>
      <c r="I78" s="3">
        <v>-4.3135192</v>
      </c>
      <c r="J78" s="3">
        <v>1564498.05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子安 周</dc:creator>
  <cp:lastModifiedBy>子安 周</cp:lastModifiedBy>
  <dcterms:created xsi:type="dcterms:W3CDTF">2026-04-03T06:38:23Z</dcterms:created>
  <dcterms:modified xsi:type="dcterms:W3CDTF">2026-04-03T07:31:16Z</dcterms:modified>
</cp:coreProperties>
</file>